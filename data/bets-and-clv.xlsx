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38a0616e2a1bf/Desktop/Development/Projects/nfl-prop-model-2/data/"/>
    </mc:Choice>
  </mc:AlternateContent>
  <xr:revisionPtr revIDLastSave="420" documentId="8_{1CC852AD-96B9-495C-9858-3FDD56D405B5}" xr6:coauthVersionLast="47" xr6:coauthVersionMax="47" xr10:uidLastSave="{AD24EC2B-9CE2-48F3-838C-0ECC9A27C52A}"/>
  <bookViews>
    <workbookView xWindow="-90" yWindow="-90" windowWidth="19380" windowHeight="10260" xr2:uid="{3786BA1E-DAAC-4214-853F-3F41588D3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0" i="1"/>
  <c r="J2" i="1"/>
  <c r="P2" i="1"/>
  <c r="B41" i="1" l="1"/>
  <c r="A41" i="1"/>
</calcChain>
</file>

<file path=xl/sharedStrings.xml><?xml version="1.0" encoding="utf-8"?>
<sst xmlns="http://schemas.openxmlformats.org/spreadsheetml/2006/main" count="152" uniqueCount="71">
  <si>
    <t>Date</t>
  </si>
  <si>
    <t>Week</t>
  </si>
  <si>
    <t>Odds Taken</t>
  </si>
  <si>
    <t>Closing Odds</t>
  </si>
  <si>
    <t>Result</t>
  </si>
  <si>
    <t>Win</t>
  </si>
  <si>
    <t>Stake</t>
  </si>
  <si>
    <t>CLV</t>
  </si>
  <si>
    <t>Book</t>
  </si>
  <si>
    <t>P/L</t>
  </si>
  <si>
    <t>Week 3</t>
  </si>
  <si>
    <t>Week 4</t>
  </si>
  <si>
    <t>Week 5</t>
  </si>
  <si>
    <t>Player</t>
  </si>
  <si>
    <t>Game</t>
  </si>
  <si>
    <t>Prop</t>
  </si>
  <si>
    <t>Line Taken</t>
  </si>
  <si>
    <t>Closing Line</t>
  </si>
  <si>
    <t>Actual Yards</t>
  </si>
  <si>
    <t>Over</t>
  </si>
  <si>
    <t>FanDuel</t>
  </si>
  <si>
    <t>Loss</t>
  </si>
  <si>
    <t>J.Love</t>
  </si>
  <si>
    <t>GB vs. CLE</t>
  </si>
  <si>
    <t>Under</t>
  </si>
  <si>
    <t>J.Hurts</t>
  </si>
  <si>
    <t>LA vs. PHI</t>
  </si>
  <si>
    <t>Draftkings</t>
  </si>
  <si>
    <t>T.Lawrence</t>
  </si>
  <si>
    <t>HOU vs. JAX</t>
  </si>
  <si>
    <t>P.Mahomes</t>
  </si>
  <si>
    <t>KC vs. NYG</t>
  </si>
  <si>
    <t xml:space="preserve">Week 3 </t>
  </si>
  <si>
    <t>C.Williams</t>
  </si>
  <si>
    <t>DAL vs. CHI</t>
  </si>
  <si>
    <t>T.Tagovailoa</t>
  </si>
  <si>
    <t>MIA vs. BUF</t>
  </si>
  <si>
    <t xml:space="preserve">K.Murray </t>
  </si>
  <si>
    <t>SEA vs. ARI</t>
  </si>
  <si>
    <t>D.Jones</t>
  </si>
  <si>
    <t>IND vs. LA</t>
  </si>
  <si>
    <t>J.Allen</t>
  </si>
  <si>
    <t>NO vs. BUF</t>
  </si>
  <si>
    <t>B.Young</t>
  </si>
  <si>
    <t>CAR vs. NE</t>
  </si>
  <si>
    <t>J.Goff</t>
  </si>
  <si>
    <t>CLE vs. DET</t>
  </si>
  <si>
    <t>PHI vs. TB</t>
  </si>
  <si>
    <t>NE vs. BUF</t>
  </si>
  <si>
    <t>NO vs. NYG</t>
  </si>
  <si>
    <t>S.Rattler</t>
  </si>
  <si>
    <t>DEN vs. PHI</t>
  </si>
  <si>
    <t>M.Stafford</t>
  </si>
  <si>
    <t>SF vs. LA</t>
  </si>
  <si>
    <t>A.Rodgers</t>
  </si>
  <si>
    <t>MIN vs. PIT</t>
  </si>
  <si>
    <t>D.Maye</t>
  </si>
  <si>
    <t>D.Prescott</t>
  </si>
  <si>
    <t>DAL vs. NYJ</t>
  </si>
  <si>
    <t>P/L Total</t>
  </si>
  <si>
    <t>CLV AVG</t>
  </si>
  <si>
    <t>% Positive CLV</t>
  </si>
  <si>
    <t>win</t>
  </si>
  <si>
    <t>Week 6</t>
  </si>
  <si>
    <t>PHI vs. NYG</t>
  </si>
  <si>
    <t>J.Herbert</t>
  </si>
  <si>
    <t>LAC vs.MIA</t>
  </si>
  <si>
    <t>DEN vs. NYJ</t>
  </si>
  <si>
    <t>J.Fields</t>
  </si>
  <si>
    <t>DAL vs. CAR</t>
  </si>
  <si>
    <t>IND vs. 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</si>
</sst>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\+0.0;\-0.0;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14" fontId="0" fillId="0" borderId="0" xfId="0" applyNumberForma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14" fontId="0" fillId="0" borderId="0" xfId="0" applyNumberFormat="1" applyAlignment="1">
      <alignment horizontal="left" vertical="center" indent="2"/>
    </xf>
    <xf numFmtId="14" fontId="0" fillId="0" borderId="0" xfId="0" applyNumberFormat="1" applyAlignment="1">
      <alignment horizontal="left" vertical="center" indent="3"/>
    </xf>
    <xf numFmtId="14" fontId="0" fillId="0" borderId="0" xfId="0" applyNumberFormat="1" applyAlignment="1">
      <alignment horizontal="left" vertical="center" indent="4"/>
    </xf>
    <xf numFmtId="14" fontId="1" fillId="0" borderId="0" xfId="0" applyNumberFormat="1" applyFont="1" applyAlignment="1">
      <alignment horizontal="left" vertical="center" indent="2"/>
    </xf>
    <xf numFmtId="14" fontId="1" fillId="0" borderId="0" xfId="0" applyNumberFormat="1" applyFont="1" applyAlignment="1">
      <alignment horizontal="left" vertical="center" indent="3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vertical="center" wrapText="1"/>
    </xf>
    <xf numFmtId="10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88E0-C804-4295-85D7-5AE50E5717DC}">
  <dimension ref="A1:P107"/>
  <sheetViews>
    <sheetView tabSelected="1" zoomScale="81" workbookViewId="0">
      <pane ySplit="1" topLeftCell="A11" activePane="bottomLeft" state="frozen"/>
      <selection pane="bottomLeft" activeCell="G29" sqref="G29"/>
    </sheetView>
  </sheetViews>
  <sheetFormatPr defaultRowHeight="14.75" x14ac:dyDescent="0.75"/>
  <cols>
    <col min="1" max="1" width="9.1328125" style="3" bestFit="1" customWidth="1"/>
    <col min="2" max="2" width="13.6796875" customWidth="1"/>
    <col min="3" max="3" width="11.1328125" customWidth="1"/>
    <col min="4" max="4" width="11.1796875" customWidth="1"/>
    <col min="10" max="10" width="8.7265625" style="22"/>
    <col min="11" max="11" width="8.7265625" style="10"/>
    <col min="12" max="12" width="9.31640625" customWidth="1"/>
    <col min="14" max="14" width="8.7265625" style="10"/>
    <col min="18" max="18" width="17.08984375" customWidth="1"/>
  </cols>
  <sheetData>
    <row r="1" spans="1:16" ht="29.5" x14ac:dyDescent="0.75">
      <c r="A1" s="12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2</v>
      </c>
      <c r="H1" s="1" t="s">
        <v>17</v>
      </c>
      <c r="I1" s="1" t="s">
        <v>3</v>
      </c>
      <c r="J1" s="21" t="s">
        <v>7</v>
      </c>
      <c r="K1" s="9" t="s">
        <v>6</v>
      </c>
      <c r="L1" s="1" t="s">
        <v>8</v>
      </c>
      <c r="M1" s="1" t="s">
        <v>4</v>
      </c>
      <c r="N1" s="9" t="s">
        <v>9</v>
      </c>
      <c r="O1" s="1" t="s">
        <v>18</v>
      </c>
      <c r="P1" s="1" t="s">
        <v>59</v>
      </c>
    </row>
    <row r="2" spans="1:16" x14ac:dyDescent="0.75">
      <c r="A2" s="3">
        <v>45917</v>
      </c>
      <c r="B2" t="s">
        <v>10</v>
      </c>
      <c r="C2" t="s">
        <v>35</v>
      </c>
      <c r="D2" t="s">
        <v>36</v>
      </c>
      <c r="E2" t="s">
        <v>24</v>
      </c>
      <c r="F2">
        <v>235.5</v>
      </c>
      <c r="G2">
        <v>-114</v>
      </c>
      <c r="H2">
        <v>241.5</v>
      </c>
      <c r="I2">
        <v>-112</v>
      </c>
      <c r="J2" s="22">
        <f>IF(E2="Over", H2-F2, IF(E2="Under", F2-H2, ""))</f>
        <v>-6</v>
      </c>
      <c r="K2" s="10">
        <v>275</v>
      </c>
      <c r="L2" t="s">
        <v>20</v>
      </c>
      <c r="M2" t="s">
        <v>5</v>
      </c>
      <c r="N2" s="10">
        <v>241.23</v>
      </c>
      <c r="P2" s="10">
        <f>SUM(N:N)</f>
        <v>242.64</v>
      </c>
    </row>
    <row r="3" spans="1:16" x14ac:dyDescent="0.75">
      <c r="A3" s="4">
        <v>45918</v>
      </c>
      <c r="B3" t="s">
        <v>10</v>
      </c>
      <c r="C3" t="s">
        <v>22</v>
      </c>
      <c r="D3" t="s">
        <v>23</v>
      </c>
      <c r="E3" t="s">
        <v>24</v>
      </c>
      <c r="F3">
        <v>230.5</v>
      </c>
      <c r="G3">
        <v>-111</v>
      </c>
      <c r="H3">
        <v>220.5</v>
      </c>
      <c r="I3">
        <v>-111</v>
      </c>
      <c r="J3" s="22">
        <f t="shared" ref="J3:J20" si="0">IF(E3="Over", H3-F3, IF(E3="Under", F3-H3, ""))</f>
        <v>10</v>
      </c>
      <c r="K3" s="10">
        <v>10</v>
      </c>
      <c r="L3" t="s">
        <v>27</v>
      </c>
      <c r="M3" t="s">
        <v>5</v>
      </c>
      <c r="N3" s="10">
        <v>9</v>
      </c>
    </row>
    <row r="4" spans="1:16" x14ac:dyDescent="0.75">
      <c r="A4" s="3">
        <v>45918</v>
      </c>
      <c r="B4" t="s">
        <v>10</v>
      </c>
      <c r="C4" t="s">
        <v>30</v>
      </c>
      <c r="D4" t="s">
        <v>31</v>
      </c>
      <c r="E4" t="s">
        <v>19</v>
      </c>
      <c r="F4">
        <v>232.5</v>
      </c>
      <c r="G4">
        <v>-114</v>
      </c>
      <c r="H4">
        <v>235.5</v>
      </c>
      <c r="I4">
        <v>-112</v>
      </c>
      <c r="J4" s="22">
        <f t="shared" si="0"/>
        <v>3</v>
      </c>
      <c r="K4" s="10">
        <v>5</v>
      </c>
      <c r="L4" t="s">
        <v>20</v>
      </c>
      <c r="M4" t="s">
        <v>21</v>
      </c>
      <c r="N4" s="10">
        <v>-5</v>
      </c>
    </row>
    <row r="5" spans="1:16" x14ac:dyDescent="0.75">
      <c r="A5" s="3">
        <v>45918</v>
      </c>
      <c r="B5" t="s">
        <v>32</v>
      </c>
      <c r="C5" t="s">
        <v>33</v>
      </c>
      <c r="D5" t="s">
        <v>34</v>
      </c>
      <c r="E5" t="s">
        <v>24</v>
      </c>
      <c r="F5">
        <v>236.5</v>
      </c>
      <c r="G5">
        <v>-114</v>
      </c>
      <c r="H5">
        <v>235.5</v>
      </c>
      <c r="I5">
        <v>-112</v>
      </c>
      <c r="J5" s="22">
        <f t="shared" si="0"/>
        <v>1</v>
      </c>
      <c r="K5" s="10">
        <v>10</v>
      </c>
      <c r="L5" t="s">
        <v>20</v>
      </c>
      <c r="M5" t="s">
        <v>21</v>
      </c>
      <c r="N5" s="10">
        <v>-5</v>
      </c>
    </row>
    <row r="6" spans="1:16" x14ac:dyDescent="0.75">
      <c r="A6" s="3">
        <v>45919</v>
      </c>
      <c r="B6" t="s">
        <v>10</v>
      </c>
      <c r="C6" t="s">
        <v>25</v>
      </c>
      <c r="D6" t="s">
        <v>26</v>
      </c>
      <c r="E6" t="s">
        <v>19</v>
      </c>
      <c r="F6">
        <v>189.5</v>
      </c>
      <c r="G6">
        <v>-111</v>
      </c>
      <c r="H6">
        <v>193.5</v>
      </c>
      <c r="I6">
        <v>-112</v>
      </c>
      <c r="J6" s="22">
        <f t="shared" si="0"/>
        <v>4</v>
      </c>
      <c r="K6" s="10">
        <v>5</v>
      </c>
      <c r="L6" t="s">
        <v>27</v>
      </c>
      <c r="M6" t="s">
        <v>5</v>
      </c>
      <c r="N6" s="10">
        <v>9.5</v>
      </c>
    </row>
    <row r="7" spans="1:16" x14ac:dyDescent="0.75">
      <c r="A7" s="3">
        <v>45919</v>
      </c>
      <c r="B7" s="2" t="s">
        <v>10</v>
      </c>
      <c r="C7" t="s">
        <v>28</v>
      </c>
      <c r="D7" t="s">
        <v>29</v>
      </c>
      <c r="E7" t="s">
        <v>24</v>
      </c>
      <c r="F7">
        <v>232.5</v>
      </c>
      <c r="G7">
        <v>-112</v>
      </c>
      <c r="H7">
        <v>226.5</v>
      </c>
      <c r="I7">
        <v>-111</v>
      </c>
      <c r="J7" s="22">
        <f t="shared" si="0"/>
        <v>6</v>
      </c>
      <c r="K7" s="10">
        <v>5</v>
      </c>
      <c r="L7" t="s">
        <v>27</v>
      </c>
      <c r="M7" t="s">
        <v>5</v>
      </c>
      <c r="N7" s="10">
        <v>9.4600000000000009</v>
      </c>
    </row>
    <row r="8" spans="1:16" x14ac:dyDescent="0.75">
      <c r="A8" s="3">
        <v>45924</v>
      </c>
      <c r="B8" t="s">
        <v>11</v>
      </c>
      <c r="C8" t="s">
        <v>37</v>
      </c>
      <c r="D8" t="s">
        <v>38</v>
      </c>
      <c r="E8" t="s">
        <v>19</v>
      </c>
      <c r="F8">
        <v>209.5</v>
      </c>
      <c r="G8">
        <v>-114</v>
      </c>
      <c r="H8">
        <v>221.5</v>
      </c>
      <c r="I8">
        <v>-110</v>
      </c>
      <c r="J8" s="22">
        <f t="shared" si="0"/>
        <v>12</v>
      </c>
      <c r="K8" s="10">
        <v>10</v>
      </c>
      <c r="L8" t="s">
        <v>20</v>
      </c>
      <c r="M8" t="s">
        <v>21</v>
      </c>
      <c r="N8" s="10">
        <v>-10</v>
      </c>
    </row>
    <row r="9" spans="1:16" x14ac:dyDescent="0.75">
      <c r="A9" s="3">
        <v>45924</v>
      </c>
      <c r="B9" t="s">
        <v>11</v>
      </c>
      <c r="C9" t="s">
        <v>39</v>
      </c>
      <c r="D9" t="s">
        <v>40</v>
      </c>
      <c r="E9" t="s">
        <v>19</v>
      </c>
      <c r="F9">
        <v>210.5</v>
      </c>
      <c r="G9">
        <v>-111</v>
      </c>
      <c r="H9">
        <v>218.5</v>
      </c>
      <c r="I9">
        <v>-112</v>
      </c>
      <c r="J9" s="22">
        <f t="shared" si="0"/>
        <v>8</v>
      </c>
      <c r="K9" s="10">
        <v>10</v>
      </c>
      <c r="L9" t="s">
        <v>27</v>
      </c>
      <c r="M9" t="s">
        <v>5</v>
      </c>
      <c r="N9" s="10">
        <v>9</v>
      </c>
    </row>
    <row r="10" spans="1:16" x14ac:dyDescent="0.75">
      <c r="A10" s="3">
        <v>45924</v>
      </c>
      <c r="B10" t="s">
        <v>11</v>
      </c>
      <c r="C10" s="2" t="s">
        <v>41</v>
      </c>
      <c r="D10" t="s">
        <v>42</v>
      </c>
      <c r="E10" t="s">
        <v>19</v>
      </c>
      <c r="F10">
        <v>219.5</v>
      </c>
      <c r="G10">
        <v>-111</v>
      </c>
      <c r="H10">
        <v>219.5</v>
      </c>
      <c r="I10">
        <v>-112</v>
      </c>
      <c r="J10" s="22">
        <f t="shared" si="0"/>
        <v>0</v>
      </c>
      <c r="K10" s="10">
        <v>10</v>
      </c>
      <c r="L10" t="s">
        <v>27</v>
      </c>
      <c r="M10" t="s">
        <v>21</v>
      </c>
      <c r="N10" s="10">
        <v>-10</v>
      </c>
    </row>
    <row r="11" spans="1:16" x14ac:dyDescent="0.75">
      <c r="A11" s="3">
        <v>45924</v>
      </c>
      <c r="B11" t="s">
        <v>11</v>
      </c>
      <c r="C11" s="2" t="s">
        <v>43</v>
      </c>
      <c r="D11" t="s">
        <v>44</v>
      </c>
      <c r="E11" t="s">
        <v>19</v>
      </c>
      <c r="F11">
        <v>205.5</v>
      </c>
      <c r="G11">
        <v>-113</v>
      </c>
      <c r="H11">
        <v>209.5</v>
      </c>
      <c r="I11">
        <v>-112</v>
      </c>
      <c r="J11" s="22">
        <f t="shared" si="0"/>
        <v>4</v>
      </c>
      <c r="K11" s="10">
        <v>10</v>
      </c>
      <c r="L11" t="s">
        <v>27</v>
      </c>
      <c r="M11" t="s">
        <v>21</v>
      </c>
      <c r="N11" s="10">
        <v>-10</v>
      </c>
    </row>
    <row r="12" spans="1:16" x14ac:dyDescent="0.75">
      <c r="A12" s="3">
        <v>45924</v>
      </c>
      <c r="B12" t="s">
        <v>11</v>
      </c>
      <c r="C12" s="2" t="s">
        <v>45</v>
      </c>
      <c r="D12" t="s">
        <v>46</v>
      </c>
      <c r="E12" t="s">
        <v>19</v>
      </c>
      <c r="F12">
        <v>225.5</v>
      </c>
      <c r="G12">
        <v>-113</v>
      </c>
      <c r="H12">
        <v>229.5</v>
      </c>
      <c r="I12">
        <v>-112</v>
      </c>
      <c r="J12" s="22">
        <f t="shared" si="0"/>
        <v>4</v>
      </c>
      <c r="K12" s="10">
        <v>10</v>
      </c>
      <c r="L12" t="s">
        <v>27</v>
      </c>
      <c r="M12" t="s">
        <v>21</v>
      </c>
      <c r="N12" s="10">
        <v>-10</v>
      </c>
    </row>
    <row r="13" spans="1:16" x14ac:dyDescent="0.75">
      <c r="A13" s="3">
        <v>45924</v>
      </c>
      <c r="B13" s="2" t="s">
        <v>11</v>
      </c>
      <c r="C13" s="2" t="s">
        <v>25</v>
      </c>
      <c r="D13" t="s">
        <v>47</v>
      </c>
      <c r="E13" t="s">
        <v>19</v>
      </c>
      <c r="F13">
        <v>188.5</v>
      </c>
      <c r="G13">
        <v>-111</v>
      </c>
      <c r="H13">
        <v>195.5</v>
      </c>
      <c r="I13">
        <v>-111</v>
      </c>
      <c r="J13" s="22">
        <f t="shared" si="0"/>
        <v>7</v>
      </c>
      <c r="K13" s="10">
        <v>10</v>
      </c>
      <c r="L13" t="s">
        <v>27</v>
      </c>
      <c r="M13" t="s">
        <v>21</v>
      </c>
      <c r="N13" s="10">
        <v>-10</v>
      </c>
    </row>
    <row r="14" spans="1:16" ht="17.25" customHeight="1" x14ac:dyDescent="0.75">
      <c r="A14" s="3">
        <v>45924</v>
      </c>
      <c r="B14" t="s">
        <v>11</v>
      </c>
      <c r="C14" s="2" t="s">
        <v>54</v>
      </c>
      <c r="D14" t="s">
        <v>55</v>
      </c>
      <c r="E14" t="s">
        <v>19</v>
      </c>
      <c r="F14">
        <v>203.5</v>
      </c>
      <c r="G14">
        <v>-111</v>
      </c>
      <c r="H14">
        <v>202.5</v>
      </c>
      <c r="I14">
        <v>-113</v>
      </c>
      <c r="J14" s="22">
        <f t="shared" si="0"/>
        <v>-1</v>
      </c>
      <c r="K14" s="10">
        <v>10</v>
      </c>
      <c r="L14" t="s">
        <v>27</v>
      </c>
      <c r="M14" t="s">
        <v>21</v>
      </c>
      <c r="N14" s="10">
        <v>-10</v>
      </c>
      <c r="O14" s="2"/>
    </row>
    <row r="15" spans="1:16" ht="14.5" customHeight="1" x14ac:dyDescent="0.75">
      <c r="A15" s="3">
        <v>45930</v>
      </c>
      <c r="B15" t="s">
        <v>12</v>
      </c>
      <c r="C15" s="2" t="s">
        <v>52</v>
      </c>
      <c r="D15" t="s">
        <v>53</v>
      </c>
      <c r="E15" t="s">
        <v>19</v>
      </c>
      <c r="F15">
        <v>235.5</v>
      </c>
      <c r="G15">
        <v>-112</v>
      </c>
      <c r="H15">
        <v>232.5</v>
      </c>
      <c r="I15">
        <v>-113</v>
      </c>
      <c r="J15" s="22">
        <f t="shared" si="0"/>
        <v>-3</v>
      </c>
      <c r="K15" s="10">
        <v>10</v>
      </c>
      <c r="L15" t="s">
        <v>27</v>
      </c>
      <c r="M15" t="s">
        <v>5</v>
      </c>
      <c r="N15" s="10">
        <v>8.92</v>
      </c>
      <c r="O15" s="2"/>
    </row>
    <row r="16" spans="1:16" ht="17.25" customHeight="1" x14ac:dyDescent="0.75">
      <c r="A16" s="4">
        <v>45933</v>
      </c>
      <c r="B16" s="2" t="s">
        <v>12</v>
      </c>
      <c r="C16" s="2" t="s">
        <v>50</v>
      </c>
      <c r="D16" s="2" t="s">
        <v>49</v>
      </c>
      <c r="E16" s="2" t="s">
        <v>19</v>
      </c>
      <c r="F16" s="2">
        <v>196.5</v>
      </c>
      <c r="G16" s="2">
        <v>-113</v>
      </c>
      <c r="H16" s="2">
        <v>203.5</v>
      </c>
      <c r="I16" s="2">
        <v>-111</v>
      </c>
      <c r="J16" s="22">
        <f t="shared" si="0"/>
        <v>7</v>
      </c>
      <c r="K16" s="11">
        <v>10</v>
      </c>
      <c r="L16" s="2" t="s">
        <v>27</v>
      </c>
      <c r="M16" s="2" t="s">
        <v>5</v>
      </c>
      <c r="N16" s="10">
        <v>8.84</v>
      </c>
    </row>
    <row r="17" spans="1:14" ht="11.75" customHeight="1" x14ac:dyDescent="0.75">
      <c r="A17" s="3">
        <v>45933</v>
      </c>
      <c r="B17" s="2" t="s">
        <v>12</v>
      </c>
      <c r="C17" s="2" t="s">
        <v>25</v>
      </c>
      <c r="D17" s="2" t="s">
        <v>51</v>
      </c>
      <c r="E17" s="2" t="s">
        <v>19</v>
      </c>
      <c r="F17" s="2">
        <v>185.5</v>
      </c>
      <c r="G17" s="2">
        <v>-112</v>
      </c>
      <c r="H17" s="2">
        <v>187.5</v>
      </c>
      <c r="I17" s="2">
        <v>-110</v>
      </c>
      <c r="J17" s="22">
        <f t="shared" si="0"/>
        <v>2</v>
      </c>
      <c r="K17" s="11">
        <v>10</v>
      </c>
      <c r="L17" s="2" t="s">
        <v>27</v>
      </c>
      <c r="M17" s="2" t="s">
        <v>5</v>
      </c>
      <c r="N17" s="11">
        <v>8.92</v>
      </c>
    </row>
    <row r="18" spans="1:14" x14ac:dyDescent="0.75">
      <c r="A18" s="4">
        <v>45935</v>
      </c>
      <c r="B18" s="2" t="s">
        <v>12</v>
      </c>
      <c r="C18" s="6" t="s">
        <v>41</v>
      </c>
      <c r="D18" t="s">
        <v>48</v>
      </c>
      <c r="E18" t="s">
        <v>19</v>
      </c>
      <c r="F18">
        <v>225.5</v>
      </c>
      <c r="G18">
        <v>-111</v>
      </c>
      <c r="H18">
        <v>229.5</v>
      </c>
      <c r="I18">
        <v>-113</v>
      </c>
      <c r="J18" s="22">
        <f t="shared" si="0"/>
        <v>4</v>
      </c>
      <c r="K18" s="10">
        <v>10</v>
      </c>
      <c r="L18" t="s">
        <v>27</v>
      </c>
      <c r="M18" t="s">
        <v>5</v>
      </c>
      <c r="N18" s="10">
        <v>9</v>
      </c>
    </row>
    <row r="19" spans="1:14" x14ac:dyDescent="0.75">
      <c r="A19" s="4">
        <v>45935</v>
      </c>
      <c r="B19" s="2" t="s">
        <v>12</v>
      </c>
      <c r="C19" s="6" t="s">
        <v>56</v>
      </c>
      <c r="D19" t="s">
        <v>48</v>
      </c>
      <c r="E19" t="s">
        <v>19</v>
      </c>
      <c r="F19">
        <v>224.5</v>
      </c>
      <c r="G19">
        <v>-114</v>
      </c>
      <c r="H19">
        <v>226.5</v>
      </c>
      <c r="I19">
        <v>-125</v>
      </c>
      <c r="J19" s="22">
        <f t="shared" si="0"/>
        <v>2</v>
      </c>
      <c r="K19" s="10">
        <v>10</v>
      </c>
      <c r="L19" t="s">
        <v>20</v>
      </c>
      <c r="M19" t="s">
        <v>62</v>
      </c>
      <c r="N19" s="10">
        <v>8.77</v>
      </c>
    </row>
    <row r="20" spans="1:14" x14ac:dyDescent="0.75">
      <c r="A20" s="4">
        <v>45935</v>
      </c>
      <c r="B20" s="2" t="s">
        <v>12</v>
      </c>
      <c r="C20" s="2" t="s">
        <v>57</v>
      </c>
      <c r="D20" t="s">
        <v>58</v>
      </c>
      <c r="E20" t="s">
        <v>19</v>
      </c>
      <c r="F20">
        <v>239.5</v>
      </c>
      <c r="G20">
        <v>-114</v>
      </c>
      <c r="H20">
        <v>243.5</v>
      </c>
      <c r="I20">
        <v>-110</v>
      </c>
      <c r="J20" s="22">
        <f t="shared" si="0"/>
        <v>4</v>
      </c>
      <c r="K20" s="10">
        <v>10</v>
      </c>
      <c r="L20" t="s">
        <v>20</v>
      </c>
      <c r="M20" t="s">
        <v>21</v>
      </c>
      <c r="N20" s="10">
        <v>-10</v>
      </c>
    </row>
    <row r="21" spans="1:14" x14ac:dyDescent="0.75">
      <c r="A21" s="3">
        <v>45937</v>
      </c>
      <c r="B21" s="2" t="s">
        <v>63</v>
      </c>
      <c r="C21" s="2" t="s">
        <v>25</v>
      </c>
      <c r="D21" t="s">
        <v>64</v>
      </c>
      <c r="E21" t="s">
        <v>19</v>
      </c>
      <c r="F21">
        <v>196.5</v>
      </c>
      <c r="G21">
        <v>-113</v>
      </c>
    </row>
    <row r="22" spans="1:14" x14ac:dyDescent="0.75">
      <c r="A22" s="3">
        <v>45937</v>
      </c>
      <c r="B22" s="2" t="s">
        <v>63</v>
      </c>
      <c r="C22" s="5" t="s">
        <v>65</v>
      </c>
      <c r="D22" t="s">
        <v>66</v>
      </c>
      <c r="E22" t="s">
        <v>24</v>
      </c>
      <c r="F22">
        <v>250.5</v>
      </c>
      <c r="G22">
        <v>-111</v>
      </c>
    </row>
    <row r="23" spans="1:14" x14ac:dyDescent="0.75">
      <c r="A23" s="3">
        <v>45937</v>
      </c>
      <c r="B23" s="2" t="s">
        <v>63</v>
      </c>
      <c r="C23" s="2" t="s">
        <v>68</v>
      </c>
      <c r="D23" t="s">
        <v>67</v>
      </c>
      <c r="E23" t="s">
        <v>19</v>
      </c>
      <c r="F23">
        <v>196.5</v>
      </c>
      <c r="G23">
        <v>-113</v>
      </c>
    </row>
    <row r="24" spans="1:14" x14ac:dyDescent="0.75">
      <c r="A24" s="3">
        <v>45938</v>
      </c>
      <c r="B24" s="2" t="s">
        <v>63</v>
      </c>
      <c r="C24" s="2" t="s">
        <v>39</v>
      </c>
      <c r="D24" t="s">
        <v>70</v>
      </c>
      <c r="E24" t="s">
        <v>19</v>
      </c>
      <c r="F24">
        <v>234.5</v>
      </c>
      <c r="G24">
        <v>-113</v>
      </c>
    </row>
    <row r="25" spans="1:14" x14ac:dyDescent="0.75">
      <c r="A25" s="3">
        <v>45939</v>
      </c>
      <c r="B25" s="2" t="s">
        <v>63</v>
      </c>
      <c r="C25" s="2" t="s">
        <v>57</v>
      </c>
      <c r="D25" t="s">
        <v>69</v>
      </c>
      <c r="E25" t="s">
        <v>19</v>
      </c>
      <c r="F25">
        <v>245.5</v>
      </c>
      <c r="G25">
        <v>-113</v>
      </c>
    </row>
    <row r="29" spans="1:14" x14ac:dyDescent="0.75">
      <c r="A29" s="14"/>
    </row>
    <row r="30" spans="1:14" x14ac:dyDescent="0.75">
      <c r="A30" s="16"/>
    </row>
    <row r="31" spans="1:14" x14ac:dyDescent="0.75">
      <c r="A31" s="16"/>
    </row>
    <row r="32" spans="1:14" x14ac:dyDescent="0.75">
      <c r="A32" s="16"/>
    </row>
    <row r="33" spans="1:2" x14ac:dyDescent="0.75">
      <c r="A33" s="17"/>
    </row>
    <row r="34" spans="1:2" x14ac:dyDescent="0.75">
      <c r="A34" s="17"/>
    </row>
    <row r="35" spans="1:2" x14ac:dyDescent="0.75">
      <c r="A35" s="17"/>
    </row>
    <row r="36" spans="1:2" x14ac:dyDescent="0.75">
      <c r="A36" s="16"/>
    </row>
    <row r="37" spans="1:2" x14ac:dyDescent="0.75">
      <c r="A37" s="14"/>
    </row>
    <row r="38" spans="1:2" x14ac:dyDescent="0.75">
      <c r="A38" s="15"/>
    </row>
    <row r="39" spans="1:2" x14ac:dyDescent="0.75">
      <c r="A39" s="14"/>
    </row>
    <row r="40" spans="1:2" x14ac:dyDescent="0.75">
      <c r="A40" s="1" t="s">
        <v>60</v>
      </c>
      <c r="B40" s="25" t="s">
        <v>61</v>
      </c>
    </row>
    <row r="41" spans="1:2" x14ac:dyDescent="0.75">
      <c r="A41" s="22">
        <f>AVERAGE(J2:J100)</f>
        <v>3.5789473684210527</v>
      </c>
      <c r="B41" s="24">
        <f>COUNTIF(J2:J100,"&gt;0") / COUNTA(J2:J100)</f>
        <v>0.78947368421052633</v>
      </c>
    </row>
    <row r="42" spans="1:2" x14ac:dyDescent="0.75">
      <c r="A42" s="17"/>
    </row>
    <row r="43" spans="1:2" x14ac:dyDescent="0.75">
      <c r="A43" s="17"/>
    </row>
    <row r="44" spans="1:2" x14ac:dyDescent="0.75">
      <c r="A44" s="18"/>
    </row>
    <row r="45" spans="1:2" x14ac:dyDescent="0.75">
      <c r="A45" s="18"/>
    </row>
    <row r="46" spans="1:2" x14ac:dyDescent="0.75">
      <c r="A46" s="18"/>
    </row>
    <row r="47" spans="1:2" x14ac:dyDescent="0.75">
      <c r="A47" s="14"/>
    </row>
    <row r="48" spans="1:2" x14ac:dyDescent="0.75">
      <c r="A48" s="15"/>
    </row>
    <row r="49" spans="1:1" x14ac:dyDescent="0.75">
      <c r="A49" s="14"/>
    </row>
    <row r="50" spans="1:1" x14ac:dyDescent="0.75">
      <c r="A50" s="14"/>
    </row>
    <row r="51" spans="1:1" x14ac:dyDescent="0.75">
      <c r="A51" s="16"/>
    </row>
    <row r="52" spans="1:1" x14ac:dyDescent="0.75">
      <c r="A52" s="17"/>
    </row>
    <row r="53" spans="1:1" x14ac:dyDescent="0.75">
      <c r="A53" s="17"/>
    </row>
    <row r="54" spans="1:1" x14ac:dyDescent="0.75">
      <c r="A54" s="16"/>
    </row>
    <row r="55" spans="1:1" x14ac:dyDescent="0.75">
      <c r="A55" s="14"/>
    </row>
    <row r="56" spans="1:1" x14ac:dyDescent="0.75">
      <c r="A56" s="15"/>
    </row>
    <row r="57" spans="1:1" x14ac:dyDescent="0.75">
      <c r="A57" s="14"/>
    </row>
    <row r="58" spans="1:1" x14ac:dyDescent="0.75">
      <c r="A58" s="14"/>
    </row>
    <row r="59" spans="1:1" x14ac:dyDescent="0.75">
      <c r="A59" s="19"/>
    </row>
    <row r="60" spans="1:1" x14ac:dyDescent="0.75">
      <c r="A60" s="19"/>
    </row>
    <row r="61" spans="1:1" x14ac:dyDescent="0.75">
      <c r="A61" s="19"/>
    </row>
    <row r="62" spans="1:1" x14ac:dyDescent="0.75">
      <c r="A62" s="19"/>
    </row>
    <row r="63" spans="1:1" x14ac:dyDescent="0.75">
      <c r="A63" s="19"/>
    </row>
    <row r="64" spans="1:1" x14ac:dyDescent="0.75">
      <c r="A64" s="16"/>
    </row>
    <row r="66" spans="1:1" ht="24.25" x14ac:dyDescent="0.75">
      <c r="A66" s="13"/>
    </row>
    <row r="67" spans="1:1" x14ac:dyDescent="0.75">
      <c r="A67" s="14"/>
    </row>
    <row r="68" spans="1:1" x14ac:dyDescent="0.75">
      <c r="A68" s="15"/>
    </row>
    <row r="69" spans="1:1" x14ac:dyDescent="0.75">
      <c r="A69" s="14"/>
    </row>
    <row r="70" spans="1:1" x14ac:dyDescent="0.75">
      <c r="A70" s="14"/>
    </row>
    <row r="71" spans="1:1" x14ac:dyDescent="0.75">
      <c r="A71" s="16"/>
    </row>
    <row r="72" spans="1:1" x14ac:dyDescent="0.75">
      <c r="A72" s="14"/>
    </row>
    <row r="73" spans="1:1" x14ac:dyDescent="0.75">
      <c r="A73" s="15"/>
    </row>
    <row r="74" spans="1:1" x14ac:dyDescent="0.75">
      <c r="A74" s="14"/>
    </row>
    <row r="75" spans="1:1" x14ac:dyDescent="0.75">
      <c r="A75" s="14"/>
    </row>
    <row r="76" spans="1:1" x14ac:dyDescent="0.75">
      <c r="A76" s="16"/>
    </row>
    <row r="77" spans="1:1" x14ac:dyDescent="0.75">
      <c r="A77" s="16"/>
    </row>
    <row r="78" spans="1:1" x14ac:dyDescent="0.75">
      <c r="A78" s="20"/>
    </row>
    <row r="79" spans="1:1" x14ac:dyDescent="0.75">
      <c r="A79" s="20"/>
    </row>
    <row r="80" spans="1:1" x14ac:dyDescent="0.75">
      <c r="A80" s="18"/>
    </row>
    <row r="81" spans="1:6" x14ac:dyDescent="0.75">
      <c r="A81" s="18"/>
    </row>
    <row r="82" spans="1:6" x14ac:dyDescent="0.75">
      <c r="A82" s="18"/>
    </row>
    <row r="83" spans="1:6" x14ac:dyDescent="0.75">
      <c r="A83" s="18"/>
    </row>
    <row r="84" spans="1:6" x14ac:dyDescent="0.75">
      <c r="A84" s="18"/>
    </row>
    <row r="85" spans="1:6" x14ac:dyDescent="0.75">
      <c r="A85" s="16"/>
    </row>
    <row r="86" spans="1:6" x14ac:dyDescent="0.75">
      <c r="A86" s="12"/>
      <c r="B86" s="1"/>
      <c r="C86" s="1"/>
      <c r="D86" s="1"/>
      <c r="E86" s="1"/>
      <c r="F86" s="1"/>
    </row>
    <row r="87" spans="1:6" x14ac:dyDescent="0.75">
      <c r="A87" s="4"/>
      <c r="B87" s="2"/>
      <c r="C87" s="7"/>
      <c r="D87" s="7"/>
      <c r="E87" s="6"/>
      <c r="F87" s="8"/>
    </row>
    <row r="88" spans="1:6" x14ac:dyDescent="0.75">
      <c r="A88" s="14"/>
    </row>
    <row r="89" spans="1:6" x14ac:dyDescent="0.75">
      <c r="A89" s="15"/>
    </row>
    <row r="90" spans="1:6" x14ac:dyDescent="0.75">
      <c r="A90" s="14"/>
    </row>
    <row r="91" spans="1:6" x14ac:dyDescent="0.75">
      <c r="A91" s="14"/>
    </row>
    <row r="92" spans="1:6" x14ac:dyDescent="0.75">
      <c r="A92" s="16"/>
    </row>
    <row r="93" spans="1:6" x14ac:dyDescent="0.75">
      <c r="A93" s="17"/>
    </row>
    <row r="94" spans="1:6" x14ac:dyDescent="0.75">
      <c r="A94" s="17"/>
    </row>
    <row r="96" spans="1:6" ht="24.25" x14ac:dyDescent="0.75">
      <c r="A96" s="13"/>
    </row>
    <row r="98" spans="1:14" x14ac:dyDescent="0.75">
      <c r="A98" s="12"/>
      <c r="B98" s="1"/>
      <c r="C98" s="1"/>
      <c r="D98" s="1"/>
      <c r="E98" s="1"/>
      <c r="F98" s="1"/>
      <c r="G98" s="1"/>
      <c r="H98" s="1"/>
      <c r="I98" s="1"/>
      <c r="J98" s="21"/>
      <c r="K98" s="9"/>
      <c r="L98" s="1"/>
      <c r="M98" s="1"/>
      <c r="N98" s="9"/>
    </row>
    <row r="99" spans="1:14" x14ac:dyDescent="0.75">
      <c r="A99" s="4"/>
      <c r="B99" s="2"/>
      <c r="C99" s="2"/>
      <c r="D99" s="2"/>
      <c r="E99" s="2"/>
      <c r="F99" s="5"/>
      <c r="G99" s="2"/>
      <c r="H99" s="6"/>
      <c r="I99" s="2"/>
      <c r="J99" s="23"/>
      <c r="K99" s="11"/>
      <c r="L99" s="2"/>
      <c r="M99" s="5"/>
      <c r="N99" s="11"/>
    </row>
    <row r="101" spans="1:14" ht="24.25" x14ac:dyDescent="0.75">
      <c r="A101" s="13"/>
    </row>
    <row r="102" spans="1:14" x14ac:dyDescent="0.75">
      <c r="A102" s="14"/>
    </row>
    <row r="103" spans="1:14" x14ac:dyDescent="0.75">
      <c r="A103" s="15"/>
    </row>
    <row r="104" spans="1:14" x14ac:dyDescent="0.75">
      <c r="A104" s="15"/>
    </row>
    <row r="105" spans="1:14" x14ac:dyDescent="0.75">
      <c r="A105" s="15"/>
    </row>
    <row r="106" spans="1:14" x14ac:dyDescent="0.75">
      <c r="A106" s="15"/>
    </row>
    <row r="107" spans="1:14" x14ac:dyDescent="0.75">
      <c r="A107" s="1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Pettinelli</dc:creator>
  <cp:lastModifiedBy>Dylan Pettinelli</cp:lastModifiedBy>
  <dcterms:created xsi:type="dcterms:W3CDTF">2025-10-05T14:20:38Z</dcterms:created>
  <dcterms:modified xsi:type="dcterms:W3CDTF">2025-10-09T17:07:33Z</dcterms:modified>
</cp:coreProperties>
</file>